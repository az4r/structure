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niras-my.sharepoint.com/personal/arza_niras_com/Documents/Documents/_HARD_DRIVE/SZABLONY_OBLICZENIOWE/"/>
    </mc:Choice>
  </mc:AlternateContent>
  <xr:revisionPtr revIDLastSave="266" documentId="8_{1F1B24C4-C0EE-4B81-9CC5-DB3F22548AD4}" xr6:coauthVersionLast="47" xr6:coauthVersionMax="47" xr10:uidLastSave="{BBC7815A-2D0B-438D-BE6C-D2D27BE117C7}"/>
  <bookViews>
    <workbookView xWindow="-25710" yWindow="-110" windowWidth="25820" windowHeight="15620" xr2:uid="{E3EEBB26-1A97-488F-B117-EC0CB6359A9E}"/>
  </bookViews>
  <sheets>
    <sheet name="WYNIKI" sheetId="2" r:id="rId1"/>
    <sheet name="TABLICA" sheetId="1" r:id="rId2"/>
    <sheet name="OBLICZENIA1" sheetId="3" r:id="rId3"/>
    <sheet name="OBLICZENIA2" sheetId="4" r:id="rId4"/>
    <sheet name="OBLICZENIA3" sheetId="5" r:id="rId5"/>
  </sheets>
  <definedNames>
    <definedName name="bmkCustomer" localSheetId="2">OBLICZENIA1!#REF!</definedName>
    <definedName name="bmkCustomer" localSheetId="3">OBLICZENIA2!#REF!</definedName>
    <definedName name="bmkCustomer" localSheetId="4">OBLICZENIA3!#REF!</definedName>
    <definedName name="bmkCustomer" localSheetId="0">WYNIKI!#REF!</definedName>
    <definedName name="bmkProjektnr1" localSheetId="2">OBLICZENIA1!#REF!</definedName>
    <definedName name="bmkProjektnr1" localSheetId="3">OBLICZENIA2!#REF!</definedName>
    <definedName name="bmkProjektnr1" localSheetId="4">OBLICZENIA3!#REF!</definedName>
    <definedName name="bmkProjektnr1" localSheetId="0">WYNIKI!#REF!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" i="3"/>
  <c r="B2" i="3"/>
  <c r="B3" i="3"/>
  <c r="B4" i="3"/>
  <c r="B5" i="3"/>
  <c r="B6" i="3"/>
  <c r="B7" i="3"/>
  <c r="B8" i="3"/>
  <c r="B9" i="3"/>
  <c r="B10" i="3"/>
  <c r="B11" i="3"/>
  <c r="B12" i="3"/>
  <c r="B1" i="3"/>
  <c r="C2" i="3"/>
  <c r="C3" i="3"/>
  <c r="C4" i="3"/>
  <c r="C5" i="3"/>
  <c r="C6" i="3"/>
  <c r="C7" i="3"/>
  <c r="C8" i="3"/>
  <c r="C9" i="3"/>
  <c r="C10" i="3"/>
  <c r="C11" i="3"/>
  <c r="C12" i="3"/>
  <c r="C1" i="3"/>
  <c r="G2" i="3"/>
  <c r="G3" i="3"/>
  <c r="G4" i="3"/>
  <c r="G5" i="3"/>
  <c r="G6" i="3"/>
  <c r="G7" i="3"/>
  <c r="G8" i="3"/>
  <c r="G9" i="3"/>
  <c r="G10" i="3"/>
  <c r="G11" i="3"/>
  <c r="G12" i="3"/>
  <c r="G1" i="3"/>
  <c r="F2" i="3"/>
  <c r="F3" i="3"/>
  <c r="F4" i="3"/>
  <c r="F5" i="3"/>
  <c r="F6" i="3"/>
  <c r="F7" i="3"/>
  <c r="F8" i="3"/>
  <c r="F9" i="3"/>
  <c r="F10" i="3"/>
  <c r="F11" i="3"/>
  <c r="F12" i="3"/>
  <c r="F1" i="3"/>
  <c r="E2" i="3"/>
  <c r="E3" i="3"/>
  <c r="E4" i="3"/>
  <c r="E5" i="3"/>
  <c r="E6" i="3"/>
  <c r="E7" i="3"/>
  <c r="E8" i="3"/>
  <c r="E9" i="3"/>
  <c r="E10" i="3"/>
  <c r="E11" i="3"/>
  <c r="E12" i="3"/>
  <c r="E1" i="3"/>
  <c r="D2" i="3"/>
  <c r="D3" i="3"/>
  <c r="D4" i="3"/>
  <c r="D5" i="3"/>
  <c r="D6" i="3"/>
  <c r="D7" i="3"/>
  <c r="D8" i="3"/>
  <c r="D9" i="3"/>
  <c r="D10" i="3"/>
  <c r="D11" i="3"/>
  <c r="D12" i="3"/>
  <c r="D1" i="3"/>
  <c r="F4" i="4" l="1"/>
  <c r="A4" i="4"/>
  <c r="A3" i="5" s="1"/>
  <c r="B6" i="2" s="1"/>
  <c r="B4" i="4"/>
  <c r="B3" i="5" s="1"/>
  <c r="C4" i="4"/>
  <c r="D4" i="4"/>
  <c r="D3" i="5" s="1"/>
  <c r="E4" i="4"/>
  <c r="C3" i="5" l="1"/>
  <c r="B7" i="2" s="1"/>
</calcChain>
</file>

<file path=xl/sharedStrings.xml><?xml version="1.0" encoding="utf-8"?>
<sst xmlns="http://schemas.openxmlformats.org/spreadsheetml/2006/main" count="73" uniqueCount="16">
  <si>
    <t>C30/37</t>
  </si>
  <si>
    <t>C35/45</t>
  </si>
  <si>
    <t>C40/50</t>
  </si>
  <si>
    <t>s&gt;10ds</t>
  </si>
  <si>
    <t>ZAKOTWIENIE</t>
  </si>
  <si>
    <t>ZAKLAD</t>
  </si>
  <si>
    <t>s&lt;10ds</t>
  </si>
  <si>
    <t>BETON</t>
  </si>
  <si>
    <t>#</t>
  </si>
  <si>
    <t>ŚREDNICA PRĘTA</t>
  </si>
  <si>
    <t>ROZSTAW</t>
  </si>
  <si>
    <t>WARUNKI PRZYCZEPNOŚCI</t>
  </si>
  <si>
    <t>DŁUGOŚĆ ZAKŁADU</t>
  </si>
  <si>
    <t>DŁUGOŚĆ ZAKOTWIENIA</t>
  </si>
  <si>
    <t>VB I</t>
  </si>
  <si>
    <t>VB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</si>
</sst>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1"/>
    <xf numFmtId="0" fontId="0" fillId="0" borderId="0" xfId="0" applyAlignment="1"/>
    <xf numFmtId="0" fontId="1" fillId="0" borderId="0" xfId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4" fillId="3" borderId="7" xfId="1" applyFont="1" applyFill="1" applyBorder="1" applyAlignment="1">
      <alignment horizontal="center" vertical="center"/>
    </xf>
    <xf numFmtId="0" fontId="4" fillId="3" borderId="8" xfId="1" applyFont="1" applyFill="1" applyBorder="1" applyAlignment="1">
      <alignment horizontal="center" vertical="center"/>
    </xf>
    <xf numFmtId="0" fontId="4" fillId="3" borderId="9" xfId="1" applyFont="1" applyFill="1" applyBorder="1" applyAlignment="1">
      <alignment horizontal="center" vertical="center"/>
    </xf>
    <xf numFmtId="0" fontId="4" fillId="3" borderId="10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F00E05E5-5DF0-4472-8CAC-FCABDAA3D99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7291D-5E28-4097-9884-EAD66B3FE65E}">
  <dimension ref="A1:B7"/>
  <sheetViews>
    <sheetView showGridLines="0" tabSelected="1" showRuler="0" zoomScale="150" zoomScaleNormal="150" zoomScaleSheetLayoutView="400" zoomScalePageLayoutView="90" workbookViewId="0"/>
  </sheetViews>
  <sheetFormatPr defaultColWidth="9.28515625" defaultRowHeight="14.25" customHeight="1" x14ac:dyDescent="0.2"/>
  <cols>
    <col min="1" max="1" width="30.7109375" style="4" customWidth="1"/>
    <col min="2" max="16384" width="9.28515625" style="4"/>
  </cols>
  <sheetData>
    <row r="1" spans="1:2" ht="14.25" customHeight="1" x14ac:dyDescent="0.2">
      <c r="A1" s="7" t="s">
        <v>7</v>
      </c>
      <c r="B1" s="8" t="s">
        <v>0</v>
      </c>
    </row>
    <row r="2" spans="1:2" ht="14.25" customHeight="1" x14ac:dyDescent="0.2">
      <c r="A2" s="9" t="s">
        <v>9</v>
      </c>
      <c r="B2" s="10">
        <v>16</v>
      </c>
    </row>
    <row r="3" spans="1:2" ht="14.25" customHeight="1" x14ac:dyDescent="0.2">
      <c r="A3" s="9" t="s">
        <v>10</v>
      </c>
      <c r="B3" s="10">
        <v>50</v>
      </c>
    </row>
    <row r="4" spans="1:2" ht="14.25" customHeight="1" thickBot="1" x14ac:dyDescent="0.25">
      <c r="A4" s="11" t="s">
        <v>11</v>
      </c>
      <c r="B4" s="12" t="s">
        <v>14</v>
      </c>
    </row>
    <row r="5" spans="1:2" ht="14.25" customHeight="1" thickBot="1" x14ac:dyDescent="0.25">
      <c r="A5" s="6"/>
      <c r="B5" s="6"/>
    </row>
    <row r="6" spans="1:2" ht="14.25" customHeight="1" x14ac:dyDescent="0.2">
      <c r="A6" s="13" t="s">
        <v>13</v>
      </c>
      <c r="B6" s="15" t="str">
        <f>(IF(B4=OBLICZENIA3!A2,OBLICZENIA3!A3,OBLICZENIA3!B3)+10)*10&amp;"mm"</f>
        <v>670mm</v>
      </c>
    </row>
    <row r="7" spans="1:2" ht="14.25" customHeight="1" thickBot="1" x14ac:dyDescent="0.25">
      <c r="A7" s="14" t="s">
        <v>12</v>
      </c>
      <c r="B7" s="16" t="str">
        <f>(IF(B4=OBLICZENIA3!C2,OBLICZENIA3!C3,OBLICZENIA3!D3)+10)*10&amp;"mm"</f>
        <v>1240mm</v>
      </c>
    </row>
  </sheetData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185DF55-65DC-4266-A24B-105E311831F1}">
          <x14:formula1>
            <xm:f>TABLICA!$A$4:$A$39</xm:f>
          </x14:formula1>
          <xm:sqref>B1</xm:sqref>
        </x14:dataValidation>
        <x14:dataValidation type="list" allowBlank="1" showInputMessage="1" showErrorMessage="1" xr:uid="{18C881AC-9B69-435A-B66C-E001A98EF705}">
          <x14:formula1>
            <xm:f>TABLICA!$B$4:$B$39</xm:f>
          </x14:formula1>
          <xm:sqref>B2</xm:sqref>
        </x14:dataValidation>
        <x14:dataValidation type="list" allowBlank="1" showInputMessage="1" showErrorMessage="1" xr:uid="{E146343E-15E2-4417-A026-264391755CB6}">
          <x14:formula1>
            <xm:f>OBLICZENIA3!$A$2:$D$2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E2E11-CB19-4F12-A654-2527F7A08AD3}">
  <dimension ref="A1:H39"/>
  <sheetViews>
    <sheetView workbookViewId="0">
      <selection activeCell="D13" sqref="D13"/>
    </sheetView>
  </sheetViews>
  <sheetFormatPr defaultRowHeight="15" x14ac:dyDescent="0.25"/>
  <sheetData>
    <row r="1" spans="1:8" x14ac:dyDescent="0.25">
      <c r="C1" s="1" t="s">
        <v>4</v>
      </c>
      <c r="D1" s="1"/>
      <c r="E1" s="1" t="s">
        <v>5</v>
      </c>
      <c r="F1" s="1"/>
      <c r="G1" s="1"/>
      <c r="H1" s="1"/>
    </row>
    <row r="2" spans="1:8" x14ac:dyDescent="0.25">
      <c r="C2" s="1" t="s">
        <v>3</v>
      </c>
      <c r="D2" s="1"/>
      <c r="E2" s="1" t="s">
        <v>3</v>
      </c>
      <c r="F2" s="1"/>
      <c r="G2" s="1" t="s">
        <v>6</v>
      </c>
      <c r="H2" s="1"/>
    </row>
    <row r="3" spans="1:8" x14ac:dyDescent="0.25">
      <c r="B3" t="s">
        <v>8</v>
      </c>
      <c r="C3" t="s">
        <v>14</v>
      </c>
      <c r="D3" t="s">
        <v>15</v>
      </c>
      <c r="E3" t="s">
        <v>14</v>
      </c>
      <c r="F3" t="s">
        <v>15</v>
      </c>
      <c r="G3" t="s">
        <v>14</v>
      </c>
      <c r="H3" t="s">
        <v>15</v>
      </c>
    </row>
    <row r="4" spans="1:8" x14ac:dyDescent="0.25">
      <c r="A4" s="2" t="s">
        <v>0</v>
      </c>
      <c r="B4" s="3">
        <v>6</v>
      </c>
      <c r="C4" s="3">
        <v>21</v>
      </c>
      <c r="D4" s="3">
        <v>31</v>
      </c>
      <c r="E4" s="3">
        <v>21</v>
      </c>
      <c r="F4" s="3">
        <v>31</v>
      </c>
      <c r="G4" s="3">
        <v>30</v>
      </c>
      <c r="H4" s="3">
        <v>43</v>
      </c>
    </row>
    <row r="5" spans="1:8" x14ac:dyDescent="0.25">
      <c r="A5" s="2" t="s">
        <v>0</v>
      </c>
      <c r="B5" s="3">
        <v>8</v>
      </c>
      <c r="C5" s="3">
        <v>29</v>
      </c>
      <c r="D5" s="3">
        <v>41</v>
      </c>
      <c r="E5" s="3">
        <v>29</v>
      </c>
      <c r="F5" s="3">
        <v>41</v>
      </c>
      <c r="G5" s="3">
        <v>40</v>
      </c>
      <c r="H5" s="3">
        <v>57</v>
      </c>
    </row>
    <row r="6" spans="1:8" x14ac:dyDescent="0.25">
      <c r="A6" s="2" t="s">
        <v>0</v>
      </c>
      <c r="B6" s="3">
        <v>10</v>
      </c>
      <c r="C6" s="3">
        <v>36</v>
      </c>
      <c r="D6" s="3">
        <v>51</v>
      </c>
      <c r="E6" s="3">
        <v>36</v>
      </c>
      <c r="F6" s="3">
        <v>51</v>
      </c>
      <c r="G6" s="3">
        <v>50</v>
      </c>
      <c r="H6" s="3">
        <v>71</v>
      </c>
    </row>
    <row r="7" spans="1:8" x14ac:dyDescent="0.25">
      <c r="A7" s="2" t="s">
        <v>0</v>
      </c>
      <c r="B7" s="3">
        <v>12</v>
      </c>
      <c r="C7" s="3">
        <v>43</v>
      </c>
      <c r="D7" s="3">
        <v>61</v>
      </c>
      <c r="E7" s="3">
        <v>43</v>
      </c>
      <c r="F7" s="3">
        <v>61</v>
      </c>
      <c r="G7" s="3">
        <v>60</v>
      </c>
      <c r="H7" s="3">
        <v>86</v>
      </c>
    </row>
    <row r="8" spans="1:8" x14ac:dyDescent="0.25">
      <c r="A8" s="2" t="s">
        <v>0</v>
      </c>
      <c r="B8" s="3">
        <v>14</v>
      </c>
      <c r="C8" s="3">
        <v>50</v>
      </c>
      <c r="D8" s="3">
        <v>71</v>
      </c>
      <c r="E8" s="3">
        <v>50</v>
      </c>
      <c r="F8" s="3">
        <v>71</v>
      </c>
      <c r="G8" s="3">
        <v>70</v>
      </c>
      <c r="H8" s="3">
        <v>100</v>
      </c>
    </row>
    <row r="9" spans="1:8" x14ac:dyDescent="0.25">
      <c r="A9" s="2" t="s">
        <v>0</v>
      </c>
      <c r="B9" s="3">
        <v>16</v>
      </c>
      <c r="C9" s="3">
        <v>57</v>
      </c>
      <c r="D9" s="3">
        <v>82</v>
      </c>
      <c r="E9" s="3">
        <v>80</v>
      </c>
      <c r="F9" s="3">
        <v>114</v>
      </c>
      <c r="G9" s="3">
        <v>114</v>
      </c>
      <c r="H9" s="3">
        <v>163</v>
      </c>
    </row>
    <row r="10" spans="1:8" x14ac:dyDescent="0.25">
      <c r="A10" s="2" t="s">
        <v>0</v>
      </c>
      <c r="B10" s="3">
        <v>20</v>
      </c>
      <c r="C10" s="3">
        <v>71</v>
      </c>
      <c r="D10" s="3">
        <v>102</v>
      </c>
      <c r="E10" s="3">
        <v>100</v>
      </c>
      <c r="F10" s="3">
        <v>143</v>
      </c>
      <c r="G10" s="3">
        <v>143</v>
      </c>
      <c r="H10" s="3">
        <v>204</v>
      </c>
    </row>
    <row r="11" spans="1:8" x14ac:dyDescent="0.25">
      <c r="A11" s="2" t="s">
        <v>0</v>
      </c>
      <c r="B11" s="3">
        <v>25</v>
      </c>
      <c r="C11" s="3">
        <v>89</v>
      </c>
      <c r="D11" s="3">
        <v>127</v>
      </c>
      <c r="E11" s="3">
        <v>125</v>
      </c>
      <c r="F11" s="3">
        <v>178</v>
      </c>
      <c r="G11" s="3">
        <v>178</v>
      </c>
      <c r="H11" s="3">
        <v>255</v>
      </c>
    </row>
    <row r="12" spans="1:8" x14ac:dyDescent="0.25">
      <c r="A12" s="2" t="s">
        <v>0</v>
      </c>
      <c r="B12" s="3">
        <v>28</v>
      </c>
      <c r="C12" s="3">
        <v>100</v>
      </c>
      <c r="D12" s="3">
        <v>143</v>
      </c>
      <c r="E12" s="3">
        <v>140</v>
      </c>
      <c r="F12" s="3">
        <v>200</v>
      </c>
      <c r="G12" s="3">
        <v>200</v>
      </c>
      <c r="H12" s="3">
        <v>286</v>
      </c>
    </row>
    <row r="13" spans="1:8" x14ac:dyDescent="0.25">
      <c r="A13" s="2" t="s">
        <v>0</v>
      </c>
      <c r="B13" s="3">
        <v>32</v>
      </c>
      <c r="C13" s="3">
        <v>114</v>
      </c>
      <c r="D13" s="3">
        <v>163</v>
      </c>
      <c r="E13" s="3">
        <v>160</v>
      </c>
      <c r="F13" s="3">
        <v>228</v>
      </c>
      <c r="G13" s="3">
        <v>228</v>
      </c>
      <c r="H13" s="3">
        <v>326</v>
      </c>
    </row>
    <row r="14" spans="1:8" x14ac:dyDescent="0.25">
      <c r="A14" s="2" t="s">
        <v>0</v>
      </c>
      <c r="B14" s="3">
        <v>40</v>
      </c>
      <c r="C14" s="3">
        <v>155</v>
      </c>
      <c r="D14" s="3">
        <v>222</v>
      </c>
      <c r="E14" s="3">
        <v>217</v>
      </c>
      <c r="F14" s="3">
        <v>310</v>
      </c>
      <c r="G14" s="3">
        <v>310</v>
      </c>
      <c r="H14" s="3">
        <v>443</v>
      </c>
    </row>
    <row r="15" spans="1:8" x14ac:dyDescent="0.25">
      <c r="A15" s="2" t="s">
        <v>0</v>
      </c>
      <c r="B15" s="3">
        <v>50</v>
      </c>
      <c r="C15" s="3">
        <v>218</v>
      </c>
      <c r="D15" s="3">
        <v>311</v>
      </c>
      <c r="E15" s="3">
        <v>305</v>
      </c>
      <c r="F15" s="3">
        <v>435</v>
      </c>
      <c r="G15" s="3">
        <v>435</v>
      </c>
      <c r="H15" s="3">
        <v>622</v>
      </c>
    </row>
    <row r="16" spans="1:8" x14ac:dyDescent="0.25">
      <c r="A16" s="2" t="s">
        <v>1</v>
      </c>
      <c r="B16" s="3">
        <v>6</v>
      </c>
      <c r="C16" s="3">
        <v>19</v>
      </c>
      <c r="D16" s="3">
        <v>27</v>
      </c>
      <c r="E16" s="3">
        <v>19</v>
      </c>
      <c r="F16" s="3">
        <v>27</v>
      </c>
      <c r="G16" s="3">
        <v>27</v>
      </c>
      <c r="H16" s="3">
        <v>38</v>
      </c>
    </row>
    <row r="17" spans="1:8" x14ac:dyDescent="0.25">
      <c r="A17" s="2" t="s">
        <v>1</v>
      </c>
      <c r="B17" s="3">
        <v>8</v>
      </c>
      <c r="C17" s="3">
        <v>26</v>
      </c>
      <c r="D17" s="3">
        <v>37</v>
      </c>
      <c r="E17" s="3">
        <v>26</v>
      </c>
      <c r="F17" s="3">
        <v>37</v>
      </c>
      <c r="G17" s="3">
        <v>36</v>
      </c>
      <c r="H17" s="3">
        <v>51</v>
      </c>
    </row>
    <row r="18" spans="1:8" x14ac:dyDescent="0.25">
      <c r="A18" s="2" t="s">
        <v>1</v>
      </c>
      <c r="B18" s="3">
        <v>10</v>
      </c>
      <c r="C18" s="3">
        <v>32</v>
      </c>
      <c r="D18" s="3">
        <v>46</v>
      </c>
      <c r="E18" s="3">
        <v>32</v>
      </c>
      <c r="F18" s="3">
        <v>46</v>
      </c>
      <c r="G18" s="3">
        <v>45</v>
      </c>
      <c r="H18" s="3">
        <v>64</v>
      </c>
    </row>
    <row r="19" spans="1:8" x14ac:dyDescent="0.25">
      <c r="A19" s="2" t="s">
        <v>1</v>
      </c>
      <c r="B19" s="3">
        <v>12</v>
      </c>
      <c r="C19" s="3">
        <v>38</v>
      </c>
      <c r="D19" s="3">
        <v>55</v>
      </c>
      <c r="E19" s="3">
        <v>38</v>
      </c>
      <c r="F19" s="3">
        <v>55</v>
      </c>
      <c r="G19" s="3">
        <v>54</v>
      </c>
      <c r="H19" s="3">
        <v>77</v>
      </c>
    </row>
    <row r="20" spans="1:8" x14ac:dyDescent="0.25">
      <c r="A20" s="2" t="s">
        <v>1</v>
      </c>
      <c r="B20" s="3">
        <v>14</v>
      </c>
      <c r="C20" s="3">
        <v>45</v>
      </c>
      <c r="D20" s="3">
        <v>64</v>
      </c>
      <c r="E20" s="3">
        <v>45</v>
      </c>
      <c r="F20" s="3">
        <v>64</v>
      </c>
      <c r="G20" s="3">
        <v>63</v>
      </c>
      <c r="H20" s="3">
        <v>90</v>
      </c>
    </row>
    <row r="21" spans="1:8" x14ac:dyDescent="0.25">
      <c r="A21" s="2" t="s">
        <v>1</v>
      </c>
      <c r="B21" s="3">
        <v>16</v>
      </c>
      <c r="C21" s="3">
        <v>51</v>
      </c>
      <c r="D21" s="3">
        <v>73</v>
      </c>
      <c r="E21" s="3">
        <v>72</v>
      </c>
      <c r="F21" s="3">
        <v>102</v>
      </c>
      <c r="G21" s="3">
        <v>102</v>
      </c>
      <c r="H21" s="3">
        <v>146</v>
      </c>
    </row>
    <row r="22" spans="1:8" x14ac:dyDescent="0.25">
      <c r="A22" s="2" t="s">
        <v>1</v>
      </c>
      <c r="B22" s="3">
        <v>20</v>
      </c>
      <c r="C22" s="3">
        <v>64</v>
      </c>
      <c r="D22" s="3">
        <v>91</v>
      </c>
      <c r="E22" s="3">
        <v>90</v>
      </c>
      <c r="F22" s="3">
        <v>128</v>
      </c>
      <c r="G22" s="3">
        <v>128</v>
      </c>
      <c r="H22" s="3">
        <v>183</v>
      </c>
    </row>
    <row r="23" spans="1:8" x14ac:dyDescent="0.25">
      <c r="A23" s="2" t="s">
        <v>1</v>
      </c>
      <c r="B23" s="3">
        <v>25</v>
      </c>
      <c r="C23" s="3">
        <v>80</v>
      </c>
      <c r="D23" s="3">
        <v>114</v>
      </c>
      <c r="E23" s="3">
        <v>112</v>
      </c>
      <c r="F23" s="3">
        <v>160</v>
      </c>
      <c r="G23" s="3">
        <v>160</v>
      </c>
      <c r="H23" s="3">
        <v>229</v>
      </c>
    </row>
    <row r="24" spans="1:8" x14ac:dyDescent="0.25">
      <c r="A24" s="2" t="s">
        <v>1</v>
      </c>
      <c r="B24" s="3">
        <v>28</v>
      </c>
      <c r="C24" s="3">
        <v>90</v>
      </c>
      <c r="D24" s="3">
        <v>128</v>
      </c>
      <c r="E24" s="3">
        <v>125</v>
      </c>
      <c r="F24" s="3">
        <v>179</v>
      </c>
      <c r="G24" s="3">
        <v>179</v>
      </c>
      <c r="H24" s="3">
        <v>256</v>
      </c>
    </row>
    <row r="25" spans="1:8" x14ac:dyDescent="0.25">
      <c r="A25" s="2" t="s">
        <v>1</v>
      </c>
      <c r="B25" s="3">
        <v>32</v>
      </c>
      <c r="C25" s="3">
        <v>102</v>
      </c>
      <c r="D25" s="3">
        <v>146</v>
      </c>
      <c r="E25" s="3">
        <v>143</v>
      </c>
      <c r="F25" s="3">
        <v>205</v>
      </c>
      <c r="G25" s="3">
        <v>205</v>
      </c>
      <c r="H25" s="3">
        <v>293</v>
      </c>
    </row>
    <row r="26" spans="1:8" x14ac:dyDescent="0.25">
      <c r="A26" s="2" t="s">
        <v>1</v>
      </c>
      <c r="B26" s="3">
        <v>40</v>
      </c>
      <c r="C26" s="3">
        <v>139</v>
      </c>
      <c r="D26" s="3">
        <v>199</v>
      </c>
      <c r="E26" s="3">
        <v>195</v>
      </c>
      <c r="F26" s="3">
        <v>278</v>
      </c>
      <c r="G26" s="3">
        <v>278</v>
      </c>
      <c r="H26" s="3">
        <v>398</v>
      </c>
    </row>
    <row r="27" spans="1:8" x14ac:dyDescent="0.25">
      <c r="A27" s="2" t="s">
        <v>1</v>
      </c>
      <c r="B27" s="3">
        <v>50</v>
      </c>
      <c r="C27" s="3">
        <v>195</v>
      </c>
      <c r="D27" s="3">
        <v>279</v>
      </c>
      <c r="E27" s="3">
        <v>273</v>
      </c>
      <c r="F27" s="3">
        <v>390</v>
      </c>
      <c r="G27" s="3">
        <v>390</v>
      </c>
      <c r="H27" s="3">
        <v>557</v>
      </c>
    </row>
    <row r="28" spans="1:8" x14ac:dyDescent="0.25">
      <c r="A28" s="2" t="s">
        <v>2</v>
      </c>
      <c r="B28" s="3">
        <v>6</v>
      </c>
      <c r="C28" s="3">
        <v>18</v>
      </c>
      <c r="D28" s="3">
        <v>25</v>
      </c>
      <c r="E28" s="3">
        <v>18</v>
      </c>
      <c r="F28" s="3">
        <v>25</v>
      </c>
      <c r="G28" s="3">
        <v>25</v>
      </c>
      <c r="H28" s="3">
        <v>35</v>
      </c>
    </row>
    <row r="29" spans="1:8" x14ac:dyDescent="0.25">
      <c r="A29" s="2" t="s">
        <v>2</v>
      </c>
      <c r="B29" s="3">
        <v>8</v>
      </c>
      <c r="C29" s="3">
        <v>24</v>
      </c>
      <c r="D29" s="3">
        <v>34</v>
      </c>
      <c r="E29" s="3">
        <v>24</v>
      </c>
      <c r="F29" s="3">
        <v>34</v>
      </c>
      <c r="G29" s="3">
        <v>33</v>
      </c>
      <c r="H29" s="3">
        <v>47</v>
      </c>
    </row>
    <row r="30" spans="1:8" x14ac:dyDescent="0.25">
      <c r="A30" s="2" t="s">
        <v>2</v>
      </c>
      <c r="B30" s="3">
        <v>10</v>
      </c>
      <c r="C30" s="3">
        <v>30</v>
      </c>
      <c r="D30" s="3">
        <v>42</v>
      </c>
      <c r="E30" s="3">
        <v>30</v>
      </c>
      <c r="F30" s="3">
        <v>42</v>
      </c>
      <c r="G30" s="3">
        <v>41</v>
      </c>
      <c r="H30" s="3">
        <v>59</v>
      </c>
    </row>
    <row r="31" spans="1:8" x14ac:dyDescent="0.25">
      <c r="A31" s="2" t="s">
        <v>2</v>
      </c>
      <c r="B31" s="3">
        <v>12</v>
      </c>
      <c r="C31" s="3">
        <v>35</v>
      </c>
      <c r="D31" s="3">
        <v>51</v>
      </c>
      <c r="E31" s="3">
        <v>35</v>
      </c>
      <c r="F31" s="3">
        <v>51</v>
      </c>
      <c r="G31" s="3">
        <v>50</v>
      </c>
      <c r="H31" s="3">
        <v>71</v>
      </c>
    </row>
    <row r="32" spans="1:8" x14ac:dyDescent="0.25">
      <c r="A32" s="2" t="s">
        <v>2</v>
      </c>
      <c r="B32" s="3">
        <v>14</v>
      </c>
      <c r="C32" s="3">
        <v>41</v>
      </c>
      <c r="D32" s="3">
        <v>59</v>
      </c>
      <c r="E32" s="3">
        <v>41</v>
      </c>
      <c r="F32" s="3">
        <v>59</v>
      </c>
      <c r="G32" s="3">
        <v>58</v>
      </c>
      <c r="H32" s="3">
        <v>83</v>
      </c>
    </row>
    <row r="33" spans="1:8" x14ac:dyDescent="0.25">
      <c r="A33" s="2" t="s">
        <v>2</v>
      </c>
      <c r="B33" s="3">
        <v>16</v>
      </c>
      <c r="C33" s="3">
        <v>47</v>
      </c>
      <c r="D33" s="3">
        <v>67</v>
      </c>
      <c r="E33" s="3">
        <v>66</v>
      </c>
      <c r="F33" s="3">
        <v>94</v>
      </c>
      <c r="G33" s="3">
        <v>94</v>
      </c>
      <c r="H33" s="3">
        <v>135</v>
      </c>
    </row>
    <row r="34" spans="1:8" x14ac:dyDescent="0.25">
      <c r="A34" s="2" t="s">
        <v>2</v>
      </c>
      <c r="B34" s="3">
        <v>20</v>
      </c>
      <c r="C34" s="3">
        <v>59</v>
      </c>
      <c r="D34" s="3">
        <v>84</v>
      </c>
      <c r="E34" s="3">
        <v>83</v>
      </c>
      <c r="F34" s="3">
        <v>118</v>
      </c>
      <c r="G34" s="3">
        <v>118</v>
      </c>
      <c r="H34" s="3">
        <v>169</v>
      </c>
    </row>
    <row r="35" spans="1:8" x14ac:dyDescent="0.25">
      <c r="A35" s="2" t="s">
        <v>2</v>
      </c>
      <c r="B35" s="3">
        <v>25</v>
      </c>
      <c r="C35" s="3">
        <v>74</v>
      </c>
      <c r="D35" s="3">
        <v>105</v>
      </c>
      <c r="E35" s="3">
        <v>103</v>
      </c>
      <c r="F35" s="3">
        <v>148</v>
      </c>
      <c r="G35" s="3">
        <v>148</v>
      </c>
      <c r="H35" s="3">
        <v>211</v>
      </c>
    </row>
    <row r="36" spans="1:8" x14ac:dyDescent="0.25">
      <c r="A36" s="2" t="s">
        <v>2</v>
      </c>
      <c r="B36" s="3">
        <v>28</v>
      </c>
      <c r="C36" s="3">
        <v>83</v>
      </c>
      <c r="D36" s="3">
        <v>118</v>
      </c>
      <c r="E36" s="3">
        <v>116</v>
      </c>
      <c r="F36" s="3">
        <v>165</v>
      </c>
      <c r="G36" s="3">
        <v>165</v>
      </c>
      <c r="H36" s="3">
        <v>236</v>
      </c>
    </row>
    <row r="37" spans="1:8" x14ac:dyDescent="0.25">
      <c r="A37" s="2" t="s">
        <v>2</v>
      </c>
      <c r="B37" s="3">
        <v>32</v>
      </c>
      <c r="C37" s="3">
        <v>94</v>
      </c>
      <c r="D37" s="3">
        <v>135</v>
      </c>
      <c r="E37" s="3">
        <v>132</v>
      </c>
      <c r="F37" s="3">
        <v>189</v>
      </c>
      <c r="G37" s="3">
        <v>189</v>
      </c>
      <c r="H37" s="3">
        <v>270</v>
      </c>
    </row>
    <row r="38" spans="1:8" x14ac:dyDescent="0.25">
      <c r="A38" s="2" t="s">
        <v>2</v>
      </c>
      <c r="B38" s="3">
        <v>40</v>
      </c>
      <c r="C38" s="3">
        <v>128</v>
      </c>
      <c r="D38" s="3">
        <v>183</v>
      </c>
      <c r="E38" s="3">
        <v>180</v>
      </c>
      <c r="F38" s="3">
        <v>257</v>
      </c>
      <c r="G38" s="3">
        <v>257</v>
      </c>
      <c r="H38" s="3">
        <v>366</v>
      </c>
    </row>
    <row r="39" spans="1:8" x14ac:dyDescent="0.25">
      <c r="A39" s="2" t="s">
        <v>2</v>
      </c>
      <c r="B39" s="3">
        <v>50</v>
      </c>
      <c r="C39" s="3">
        <v>180</v>
      </c>
      <c r="D39" s="3">
        <v>257</v>
      </c>
      <c r="E39" s="3">
        <v>252</v>
      </c>
      <c r="F39" s="3">
        <v>360</v>
      </c>
      <c r="G39" s="3">
        <v>360</v>
      </c>
      <c r="H39" s="3">
        <v>514</v>
      </c>
    </row>
  </sheetData>
  <mergeCells count="5">
    <mergeCell ref="E2:F2"/>
    <mergeCell ref="G2:H2"/>
    <mergeCell ref="C1:D1"/>
    <mergeCell ref="E1:H1"/>
    <mergeCell ref="C2:D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40D1B-0CB9-4F50-9E96-C8E176A1D817}">
  <dimension ref="A1:G12"/>
  <sheetViews>
    <sheetView showRuler="0" zoomScaleNormal="100" zoomScaleSheetLayoutView="400" zoomScalePageLayoutView="90" workbookViewId="0"/>
  </sheetViews>
  <sheetFormatPr defaultColWidth="9.28515625" defaultRowHeight="14.25" customHeight="1" x14ac:dyDescent="0.2"/>
  <cols>
    <col min="1" max="16384" width="9.28515625" style="4"/>
  </cols>
  <sheetData>
    <row r="1" spans="1:7" ht="14.25" customHeight="1" x14ac:dyDescent="0.2">
      <c r="A1" s="4">
        <f>INDEX(TABLICA!$B4,MATCH(WYNIKI!$B$1,TABLICA!$A4,0))</f>
        <v>6</v>
      </c>
      <c r="B1" s="4">
        <f>INDEX(TABLICA!$C4,MATCH(WYNIKI!$B$1,TABLICA!$A4,0))</f>
        <v>21</v>
      </c>
      <c r="C1" s="4">
        <f>INDEX(TABLICA!$D4,MATCH(WYNIKI!$B$1,TABLICA!$A4,0))</f>
        <v>31</v>
      </c>
      <c r="D1" s="4">
        <f>INDEX(TABLICA!$E4,MATCH(WYNIKI!$B$1,TABLICA!$A4,0))</f>
        <v>21</v>
      </c>
      <c r="E1" s="4">
        <f>INDEX(TABLICA!$F4,MATCH(WYNIKI!$B$1,TABLICA!$A4,0))</f>
        <v>31</v>
      </c>
      <c r="F1" s="4">
        <f>INDEX(TABLICA!$G4,MATCH(WYNIKI!$B$1,TABLICA!$A4,0))</f>
        <v>30</v>
      </c>
      <c r="G1" s="4">
        <f>INDEX(TABLICA!$H4,MATCH(WYNIKI!$B$1,TABLICA!$A4,0))</f>
        <v>43</v>
      </c>
    </row>
    <row r="2" spans="1:7" ht="14.25" customHeight="1" x14ac:dyDescent="0.2">
      <c r="A2" s="4">
        <f>INDEX(TABLICA!$B5,MATCH(WYNIKI!$B$1,TABLICA!$A5,0))</f>
        <v>8</v>
      </c>
      <c r="B2" s="4">
        <f>INDEX(TABLICA!$C5,MATCH(WYNIKI!$B$1,TABLICA!$A5,0))</f>
        <v>29</v>
      </c>
      <c r="C2" s="4">
        <f>INDEX(TABLICA!$D5,MATCH(WYNIKI!$B$1,TABLICA!$A5,0))</f>
        <v>41</v>
      </c>
      <c r="D2" s="4">
        <f>INDEX(TABLICA!$E5,MATCH(WYNIKI!$B$1,TABLICA!$A5,0))</f>
        <v>29</v>
      </c>
      <c r="E2" s="4">
        <f>INDEX(TABLICA!$F5,MATCH(WYNIKI!$B$1,TABLICA!$A5,0))</f>
        <v>41</v>
      </c>
      <c r="F2" s="4">
        <f>INDEX(TABLICA!$G5,MATCH(WYNIKI!$B$1,TABLICA!$A5,0))</f>
        <v>40</v>
      </c>
      <c r="G2" s="4">
        <f>INDEX(TABLICA!$H5,MATCH(WYNIKI!$B$1,TABLICA!$A5,0))</f>
        <v>57</v>
      </c>
    </row>
    <row r="3" spans="1:7" ht="14.25" customHeight="1" x14ac:dyDescent="0.2">
      <c r="A3" s="4">
        <f>INDEX(TABLICA!$B6,MATCH(WYNIKI!$B$1,TABLICA!$A6,0))</f>
        <v>10</v>
      </c>
      <c r="B3" s="4">
        <f>INDEX(TABLICA!$C6,MATCH(WYNIKI!$B$1,TABLICA!$A6,0))</f>
        <v>36</v>
      </c>
      <c r="C3" s="4">
        <f>INDEX(TABLICA!$D6,MATCH(WYNIKI!$B$1,TABLICA!$A6,0))</f>
        <v>51</v>
      </c>
      <c r="D3" s="4">
        <f>INDEX(TABLICA!$E6,MATCH(WYNIKI!$B$1,TABLICA!$A6,0))</f>
        <v>36</v>
      </c>
      <c r="E3" s="4">
        <f>INDEX(TABLICA!$F6,MATCH(WYNIKI!$B$1,TABLICA!$A6,0))</f>
        <v>51</v>
      </c>
      <c r="F3" s="4">
        <f>INDEX(TABLICA!$G6,MATCH(WYNIKI!$B$1,TABLICA!$A6,0))</f>
        <v>50</v>
      </c>
      <c r="G3" s="4">
        <f>INDEX(TABLICA!$H6,MATCH(WYNIKI!$B$1,TABLICA!$A6,0))</f>
        <v>71</v>
      </c>
    </row>
    <row r="4" spans="1:7" ht="14.25" customHeight="1" x14ac:dyDescent="0.2">
      <c r="A4" s="4">
        <f>INDEX(TABLICA!$B7,MATCH(WYNIKI!$B$1,TABLICA!$A7,0))</f>
        <v>12</v>
      </c>
      <c r="B4" s="4">
        <f>INDEX(TABLICA!$C7,MATCH(WYNIKI!$B$1,TABLICA!$A7,0))</f>
        <v>43</v>
      </c>
      <c r="C4" s="4">
        <f>INDEX(TABLICA!$D7,MATCH(WYNIKI!$B$1,TABLICA!$A7,0))</f>
        <v>61</v>
      </c>
      <c r="D4" s="4">
        <f>INDEX(TABLICA!$E7,MATCH(WYNIKI!$B$1,TABLICA!$A7,0))</f>
        <v>43</v>
      </c>
      <c r="E4" s="4">
        <f>INDEX(TABLICA!$F7,MATCH(WYNIKI!$B$1,TABLICA!$A7,0))</f>
        <v>61</v>
      </c>
      <c r="F4" s="4">
        <f>INDEX(TABLICA!$G7,MATCH(WYNIKI!$B$1,TABLICA!$A7,0))</f>
        <v>60</v>
      </c>
      <c r="G4" s="4">
        <f>INDEX(TABLICA!$H7,MATCH(WYNIKI!$B$1,TABLICA!$A7,0))</f>
        <v>86</v>
      </c>
    </row>
    <row r="5" spans="1:7" ht="14.25" customHeight="1" x14ac:dyDescent="0.2">
      <c r="A5" s="4">
        <f>INDEX(TABLICA!$B8,MATCH(WYNIKI!$B$1,TABLICA!$A8,0))</f>
        <v>14</v>
      </c>
      <c r="B5" s="4">
        <f>INDEX(TABLICA!$C8,MATCH(WYNIKI!$B$1,TABLICA!$A8,0))</f>
        <v>50</v>
      </c>
      <c r="C5" s="4">
        <f>INDEX(TABLICA!$D8,MATCH(WYNIKI!$B$1,TABLICA!$A8,0))</f>
        <v>71</v>
      </c>
      <c r="D5" s="4">
        <f>INDEX(TABLICA!$E8,MATCH(WYNIKI!$B$1,TABLICA!$A8,0))</f>
        <v>50</v>
      </c>
      <c r="E5" s="4">
        <f>INDEX(TABLICA!$F8,MATCH(WYNIKI!$B$1,TABLICA!$A8,0))</f>
        <v>71</v>
      </c>
      <c r="F5" s="4">
        <f>INDEX(TABLICA!$G8,MATCH(WYNIKI!$B$1,TABLICA!$A8,0))</f>
        <v>70</v>
      </c>
      <c r="G5" s="4">
        <f>INDEX(TABLICA!$H8,MATCH(WYNIKI!$B$1,TABLICA!$A8,0))</f>
        <v>100</v>
      </c>
    </row>
    <row r="6" spans="1:7" ht="14.25" customHeight="1" x14ac:dyDescent="0.2">
      <c r="A6" s="4">
        <f>INDEX(TABLICA!$B9,MATCH(WYNIKI!$B$1,TABLICA!$A9,0))</f>
        <v>16</v>
      </c>
      <c r="B6" s="4">
        <f>INDEX(TABLICA!$C9,MATCH(WYNIKI!$B$1,TABLICA!$A9,0))</f>
        <v>57</v>
      </c>
      <c r="C6" s="4">
        <f>INDEX(TABLICA!$D9,MATCH(WYNIKI!$B$1,TABLICA!$A9,0))</f>
        <v>82</v>
      </c>
      <c r="D6" s="4">
        <f>INDEX(TABLICA!$E9,MATCH(WYNIKI!$B$1,TABLICA!$A9,0))</f>
        <v>80</v>
      </c>
      <c r="E6" s="4">
        <f>INDEX(TABLICA!$F9,MATCH(WYNIKI!$B$1,TABLICA!$A9,0))</f>
        <v>114</v>
      </c>
      <c r="F6" s="4">
        <f>INDEX(TABLICA!$G9,MATCH(WYNIKI!$B$1,TABLICA!$A9,0))</f>
        <v>114</v>
      </c>
      <c r="G6" s="4">
        <f>INDEX(TABLICA!$H9,MATCH(WYNIKI!$B$1,TABLICA!$A9,0))</f>
        <v>163</v>
      </c>
    </row>
    <row r="7" spans="1:7" ht="14.25" customHeight="1" x14ac:dyDescent="0.2">
      <c r="A7" s="4">
        <f>INDEX(TABLICA!$B10,MATCH(WYNIKI!$B$1,TABLICA!$A10,0))</f>
        <v>20</v>
      </c>
      <c r="B7" s="4">
        <f>INDEX(TABLICA!$C10,MATCH(WYNIKI!$B$1,TABLICA!$A10,0))</f>
        <v>71</v>
      </c>
      <c r="C7" s="4">
        <f>INDEX(TABLICA!$D10,MATCH(WYNIKI!$B$1,TABLICA!$A10,0))</f>
        <v>102</v>
      </c>
      <c r="D7" s="4">
        <f>INDEX(TABLICA!$E10,MATCH(WYNIKI!$B$1,TABLICA!$A10,0))</f>
        <v>100</v>
      </c>
      <c r="E7" s="4">
        <f>INDEX(TABLICA!$F10,MATCH(WYNIKI!$B$1,TABLICA!$A10,0))</f>
        <v>143</v>
      </c>
      <c r="F7" s="4">
        <f>INDEX(TABLICA!$G10,MATCH(WYNIKI!$B$1,TABLICA!$A10,0))</f>
        <v>143</v>
      </c>
      <c r="G7" s="4">
        <f>INDEX(TABLICA!$H10,MATCH(WYNIKI!$B$1,TABLICA!$A10,0))</f>
        <v>204</v>
      </c>
    </row>
    <row r="8" spans="1:7" ht="14.25" customHeight="1" x14ac:dyDescent="0.2">
      <c r="A8" s="4">
        <f>INDEX(TABLICA!$B11,MATCH(WYNIKI!$B$1,TABLICA!$A11,0))</f>
        <v>25</v>
      </c>
      <c r="B8" s="4">
        <f>INDEX(TABLICA!$C11,MATCH(WYNIKI!$B$1,TABLICA!$A11,0))</f>
        <v>89</v>
      </c>
      <c r="C8" s="4">
        <f>INDEX(TABLICA!$D11,MATCH(WYNIKI!$B$1,TABLICA!$A11,0))</f>
        <v>127</v>
      </c>
      <c r="D8" s="4">
        <f>INDEX(TABLICA!$E11,MATCH(WYNIKI!$B$1,TABLICA!$A11,0))</f>
        <v>125</v>
      </c>
      <c r="E8" s="4">
        <f>INDEX(TABLICA!$F11,MATCH(WYNIKI!$B$1,TABLICA!$A11,0))</f>
        <v>178</v>
      </c>
      <c r="F8" s="4">
        <f>INDEX(TABLICA!$G11,MATCH(WYNIKI!$B$1,TABLICA!$A11,0))</f>
        <v>178</v>
      </c>
      <c r="G8" s="4">
        <f>INDEX(TABLICA!$H11,MATCH(WYNIKI!$B$1,TABLICA!$A11,0))</f>
        <v>255</v>
      </c>
    </row>
    <row r="9" spans="1:7" ht="14.25" customHeight="1" x14ac:dyDescent="0.2">
      <c r="A9" s="4">
        <f>INDEX(TABLICA!$B12,MATCH(WYNIKI!$B$1,TABLICA!$A12,0))</f>
        <v>28</v>
      </c>
      <c r="B9" s="4">
        <f>INDEX(TABLICA!$C12,MATCH(WYNIKI!$B$1,TABLICA!$A12,0))</f>
        <v>100</v>
      </c>
      <c r="C9" s="4">
        <f>INDEX(TABLICA!$D12,MATCH(WYNIKI!$B$1,TABLICA!$A12,0))</f>
        <v>143</v>
      </c>
      <c r="D9" s="4">
        <f>INDEX(TABLICA!$E12,MATCH(WYNIKI!$B$1,TABLICA!$A12,0))</f>
        <v>140</v>
      </c>
      <c r="E9" s="4">
        <f>INDEX(TABLICA!$F12,MATCH(WYNIKI!$B$1,TABLICA!$A12,0))</f>
        <v>200</v>
      </c>
      <c r="F9" s="4">
        <f>INDEX(TABLICA!$G12,MATCH(WYNIKI!$B$1,TABLICA!$A12,0))</f>
        <v>200</v>
      </c>
      <c r="G9" s="4">
        <f>INDEX(TABLICA!$H12,MATCH(WYNIKI!$B$1,TABLICA!$A12,0))</f>
        <v>286</v>
      </c>
    </row>
    <row r="10" spans="1:7" ht="14.25" customHeight="1" x14ac:dyDescent="0.2">
      <c r="A10" s="4">
        <f>INDEX(TABLICA!$B13,MATCH(WYNIKI!$B$1,TABLICA!$A13,0))</f>
        <v>32</v>
      </c>
      <c r="B10" s="4">
        <f>INDEX(TABLICA!$C13,MATCH(WYNIKI!$B$1,TABLICA!$A13,0))</f>
        <v>114</v>
      </c>
      <c r="C10" s="4">
        <f>INDEX(TABLICA!$D13,MATCH(WYNIKI!$B$1,TABLICA!$A13,0))</f>
        <v>163</v>
      </c>
      <c r="D10" s="4">
        <f>INDEX(TABLICA!$E13,MATCH(WYNIKI!$B$1,TABLICA!$A13,0))</f>
        <v>160</v>
      </c>
      <c r="E10" s="4">
        <f>INDEX(TABLICA!$F13,MATCH(WYNIKI!$B$1,TABLICA!$A13,0))</f>
        <v>228</v>
      </c>
      <c r="F10" s="4">
        <f>INDEX(TABLICA!$G13,MATCH(WYNIKI!$B$1,TABLICA!$A13,0))</f>
        <v>228</v>
      </c>
      <c r="G10" s="4">
        <f>INDEX(TABLICA!$H13,MATCH(WYNIKI!$B$1,TABLICA!$A13,0))</f>
        <v>326</v>
      </c>
    </row>
    <row r="11" spans="1:7" ht="14.25" customHeight="1" x14ac:dyDescent="0.2">
      <c r="A11" s="4">
        <f>INDEX(TABLICA!$B14,MATCH(WYNIKI!$B$1,TABLICA!$A14,0))</f>
        <v>40</v>
      </c>
      <c r="B11" s="4">
        <f>INDEX(TABLICA!$C14,MATCH(WYNIKI!$B$1,TABLICA!$A14,0))</f>
        <v>155</v>
      </c>
      <c r="C11" s="4">
        <f>INDEX(TABLICA!$D14,MATCH(WYNIKI!$B$1,TABLICA!$A14,0))</f>
        <v>222</v>
      </c>
      <c r="D11" s="4">
        <f>INDEX(TABLICA!$E14,MATCH(WYNIKI!$B$1,TABLICA!$A14,0))</f>
        <v>217</v>
      </c>
      <c r="E11" s="4">
        <f>INDEX(TABLICA!$F14,MATCH(WYNIKI!$B$1,TABLICA!$A14,0))</f>
        <v>310</v>
      </c>
      <c r="F11" s="4">
        <f>INDEX(TABLICA!$G14,MATCH(WYNIKI!$B$1,TABLICA!$A14,0))</f>
        <v>310</v>
      </c>
      <c r="G11" s="4">
        <f>INDEX(TABLICA!$H14,MATCH(WYNIKI!$B$1,TABLICA!$A14,0))</f>
        <v>443</v>
      </c>
    </row>
    <row r="12" spans="1:7" ht="14.25" customHeight="1" x14ac:dyDescent="0.2">
      <c r="A12" s="4">
        <f>INDEX(TABLICA!$B15,MATCH(WYNIKI!$B$1,TABLICA!$A15,0))</f>
        <v>50</v>
      </c>
      <c r="B12" s="4">
        <f>INDEX(TABLICA!$C15,MATCH(WYNIKI!$B$1,TABLICA!$A15,0))</f>
        <v>218</v>
      </c>
      <c r="C12" s="4">
        <f>INDEX(TABLICA!$D15,MATCH(WYNIKI!$B$1,TABLICA!$A15,0))</f>
        <v>311</v>
      </c>
      <c r="D12" s="4">
        <f>INDEX(TABLICA!$E15,MATCH(WYNIKI!$B$1,TABLICA!$A15,0))</f>
        <v>305</v>
      </c>
      <c r="E12" s="4">
        <f>INDEX(TABLICA!$F15,MATCH(WYNIKI!$B$1,TABLICA!$A15,0))</f>
        <v>435</v>
      </c>
      <c r="F12" s="4">
        <f>INDEX(TABLICA!$G15,MATCH(WYNIKI!$B$1,TABLICA!$A15,0))</f>
        <v>435</v>
      </c>
      <c r="G12" s="4">
        <f>INDEX(TABLICA!$H15,MATCH(WYNIKI!$B$1,TABLICA!$A15,0))</f>
        <v>622</v>
      </c>
    </row>
  </sheetData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21C69-A75F-466B-9DDE-A9CA76703369}">
  <dimension ref="A1:F4"/>
  <sheetViews>
    <sheetView showRuler="0" zoomScaleNormal="100" zoomScaleSheetLayoutView="400" zoomScalePageLayoutView="90" workbookViewId="0">
      <selection sqref="A1:B1"/>
    </sheetView>
  </sheetViews>
  <sheetFormatPr defaultColWidth="9.28515625" defaultRowHeight="14.25" customHeight="1" x14ac:dyDescent="0.2"/>
  <cols>
    <col min="1" max="16384" width="9.28515625" style="4"/>
  </cols>
  <sheetData>
    <row r="1" spans="1:6" ht="14.25" customHeight="1" x14ac:dyDescent="0.25">
      <c r="A1" s="1" t="s">
        <v>4</v>
      </c>
      <c r="B1" s="1"/>
      <c r="C1" s="1" t="s">
        <v>5</v>
      </c>
      <c r="D1" s="1"/>
      <c r="E1" s="1"/>
      <c r="F1" s="1"/>
    </row>
    <row r="2" spans="1:6" ht="14.25" customHeight="1" x14ac:dyDescent="0.25">
      <c r="A2" s="1" t="s">
        <v>3</v>
      </c>
      <c r="B2" s="1"/>
      <c r="C2" s="1" t="s">
        <v>3</v>
      </c>
      <c r="D2" s="1"/>
      <c r="E2" s="1" t="s">
        <v>6</v>
      </c>
      <c r="F2" s="1"/>
    </row>
    <row r="3" spans="1:6" ht="14.25" customHeight="1" x14ac:dyDescent="0.25">
      <c r="A3" t="s">
        <v>14</v>
      </c>
      <c r="B3" t="s">
        <v>15</v>
      </c>
      <c r="C3" t="s">
        <v>14</v>
      </c>
      <c r="D3" t="s">
        <v>15</v>
      </c>
      <c r="E3" t="s">
        <v>14</v>
      </c>
      <c r="F3" t="s">
        <v>15</v>
      </c>
    </row>
    <row r="4" spans="1:6" ht="14.25" customHeight="1" x14ac:dyDescent="0.2">
      <c r="A4" s="4">
        <f>INDEX(OBLICZENIA1!$B1:$B12,MATCH(WYNIKI!$B$2,OBLICZENIA1!$A1:$A12,0))</f>
        <v>57</v>
      </c>
      <c r="B4" s="4">
        <f>INDEX(OBLICZENIA1!$C1:$C12,MATCH(WYNIKI!$B$2,OBLICZENIA1!$A1:$A12,0))</f>
        <v>82</v>
      </c>
      <c r="C4" s="4">
        <f>INDEX(OBLICZENIA1!$D1:$D12,MATCH(WYNIKI!$B$2,OBLICZENIA1!$A1:$A12,0))</f>
        <v>80</v>
      </c>
      <c r="D4" s="4">
        <f>INDEX(OBLICZENIA1!$E1:$E12,MATCH(WYNIKI!$B$2,OBLICZENIA1!$A1:$A12,0))</f>
        <v>114</v>
      </c>
      <c r="E4" s="4">
        <f>INDEX(OBLICZENIA1!$F1:$F12,MATCH(WYNIKI!$B$2,OBLICZENIA1!$A1:$A12,0))</f>
        <v>114</v>
      </c>
      <c r="F4" s="4">
        <f>INDEX(OBLICZENIA1!$G1:$G12,MATCH(WYNIKI!$B$2,OBLICZENIA1!$A1:$A12,0))</f>
        <v>163</v>
      </c>
    </row>
  </sheetData>
  <mergeCells count="5">
    <mergeCell ref="A1:B1"/>
    <mergeCell ref="C1:F1"/>
    <mergeCell ref="A2:B2"/>
    <mergeCell ref="C2:D2"/>
    <mergeCell ref="E2:F2"/>
  </mergeCells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8283-BA87-452D-A68D-76860525B17E}">
  <dimension ref="A1:F3"/>
  <sheetViews>
    <sheetView showRuler="0" zoomScaleNormal="100" zoomScaleSheetLayoutView="400" zoomScalePageLayoutView="90" workbookViewId="0">
      <selection activeCell="D16" sqref="D16"/>
    </sheetView>
  </sheetViews>
  <sheetFormatPr defaultColWidth="9.28515625" defaultRowHeight="14.25" customHeight="1" x14ac:dyDescent="0.2"/>
  <cols>
    <col min="1" max="16384" width="9.28515625" style="4"/>
  </cols>
  <sheetData>
    <row r="1" spans="1:6" ht="14.25" customHeight="1" x14ac:dyDescent="0.25">
      <c r="A1" s="1" t="s">
        <v>4</v>
      </c>
      <c r="B1" s="1"/>
      <c r="C1" s="1" t="s">
        <v>5</v>
      </c>
      <c r="D1" s="1"/>
      <c r="E1" s="5"/>
      <c r="F1" s="5"/>
    </row>
    <row r="2" spans="1:6" ht="14.25" customHeight="1" x14ac:dyDescent="0.25">
      <c r="A2" t="s">
        <v>14</v>
      </c>
      <c r="B2" t="s">
        <v>15</v>
      </c>
      <c r="C2" t="s">
        <v>14</v>
      </c>
      <c r="D2" t="s">
        <v>15</v>
      </c>
      <c r="E2"/>
      <c r="F2"/>
    </row>
    <row r="3" spans="1:6" ht="14.25" customHeight="1" x14ac:dyDescent="0.2">
      <c r="A3" s="4">
        <f>OBLICZENIA2!A4</f>
        <v>57</v>
      </c>
      <c r="B3" s="4">
        <f>OBLICZENIA2!B4</f>
        <v>82</v>
      </c>
      <c r="C3" s="4">
        <f>IF(WYNIKI!B3&gt;=(WYNIKI!B2*10),OBLICZENIA2!C4,OBLICZENIA2!E4)</f>
        <v>114</v>
      </c>
      <c r="D3" s="4">
        <f>IF(WYNIKI!B3&gt;=(WYNIKI!B2*10),OBLICZENIA2!D4,OBLICZENIA2!F4)</f>
        <v>163</v>
      </c>
    </row>
  </sheetData>
  <mergeCells count="2">
    <mergeCell ref="A1:B1"/>
    <mergeCell ref="C1:D1"/>
  </mergeCells>
  <pageMargins left="0.23622047244094491" right="0.23622047244094491" top="0.82677165354330717" bottom="0.47244094488188981" header="7.874015748031496E-2" footer="7.874015748031496E-2"/>
  <pageSetup paperSize="9" fitToWidth="0" fitToHeight="0" orientation="landscape" r:id="rId1"/>
  <headerFooter>
    <oddHeader xml:space="preserve">&amp;R&amp;18&amp;G </oddHeader>
    <oddFooter>&amp;C&amp;"Verdana,Regular"&amp;8&amp;P / &amp;K000000&amp;N&amp;LYNAS6NA67CVJ-2065489706-1317</oddFooter>
    <firstHeader xml:space="preserve">&amp;L&amp;G&amp;R&amp;18 </firstHeader>
    <firstFooter xml:space="preserve">&amp;L&amp;"Verdana,Regular"&amp;8NIRAS A/S
Sortemosevej 19
3450 Allerød, Denmark&amp;C&amp;8Reg. No. 37295728 Denmark
FRI, FIDIC
www.niras.com&amp;R&amp;"Verdana,Regular"&amp;8T: +45 4810 4200   
F: +45 4810 4300 
E: niras@niras.dk  </first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WYNIKI</vt:lpstr>
      <vt:lpstr>TABLICA</vt:lpstr>
      <vt:lpstr>OBLICZENIA1</vt:lpstr>
      <vt:lpstr>OBLICZENIA2</vt:lpstr>
      <vt:lpstr>OBLICZENIA3</vt:lpstr>
    </vt:vector>
  </TitlesOfParts>
  <Company>NIRAS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Arkadiusz Zarzycki (ARZA)</dc:creator>
  <cp:lastModifiedBy>Arkadiusz Zarzycki (ARZA)</cp:lastModifiedBy>
  <dcterms:created xsi:type="dcterms:W3CDTF">2024-03-07T08:56:53Z</dcterms:created>
  <dcterms:modified xsi:type="dcterms:W3CDTF">2024-03-07T10:10:49Z</dcterms:modified>
</cp:coreProperties>
</file>